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na\Entri\"/>
    </mc:Choice>
  </mc:AlternateContent>
  <xr:revisionPtr revIDLastSave="0" documentId="13_ncr:1_{3EAA12CF-8724-47A2-9F12-9FB4FF9D5FB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I2" i="2"/>
  <c r="H2" i="2"/>
  <c r="G2" i="2"/>
  <c r="M9" i="2"/>
  <c r="M8" i="2"/>
  <c r="M7" i="2"/>
  <c r="M6" i="2"/>
  <c r="M5" i="2"/>
  <c r="M4" i="2"/>
  <c r="M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<sst xmlns="http://schemas.openxmlformats.org/spreadsheetml/2006/main" count="172" uniqueCount="123">
  <si>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</si>
  <si>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</si>
  <si>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</si>
  <si>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</si>
  <si>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</si>
  <si>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</si>
  <si>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</si>
  <si>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</si>
  <si>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</si>
  <si>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</si>
  <si>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</si>
  <si>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</si>
  <si>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</si>
  <si>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</si>
  <si>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</si>
  <si>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</si>
  <si>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</si>
  <si>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</si>
  <si>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</si>
  <si>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</si>
  <si>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</si>
  <si>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</si>
  <si>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</si>
  <si>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</si>
  <si>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</si>
  <si>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</si>
  <si>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</si>
  <si>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</si>
  <si>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</si>
  <si>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</si>
  <si>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</si>
  <si>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</si>
  <si>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</si>
  <si>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</si>
  <si>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</si>
  <si>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</si>
  <si>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</si>
  <si>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</si>
  <si>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</si>
  <si>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</si>
  <si>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</si>
  <si>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</si>
  <si>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</si>
  <si>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</si>
  <si>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</si>
  <si>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</si>
  <si>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</si>
  <si>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</si>
  <si>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</si>
  <si>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</si>
  <si>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</si>
  <si>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</si>
  <si>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</si>
  <si>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</si>
  <si>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</si>
  <si>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</si>
  <si>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</si>
  <si>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</si>
  <si>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</si>
  <si>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</si>
  <si>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</si>
  <si>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</si>
  <si>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</si>
  <si>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</si>
  <si>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</si>
  <si>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</si>
  <si>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</si>
  <si>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</si>
  <si>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</si>
  <si>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</si>
  <si>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</si>
  <si>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</si>
  <si>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</si>
  <si>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</si>
  <si>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</si>
  <si>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</si>
  <si>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</si>
  <si>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</si>
  <si>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</si>
  <si>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</si>
  <si>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</si>
  <si>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</si>
  <si>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</si>
  <si>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</si>
  <si>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</si>
  <si>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</si>
  <si>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</si>
  <si>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</si>
  <si>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</si>
  <si>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</si>
  <si>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</si>
  <si>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</si>
  <si>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</si>
  <si>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</si>
  <si>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</si>
  <si>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</si>
  <si>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</si>
  <si>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</si>
  <si>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</si>
  <si>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</si>
  <si>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</si>
  <si>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</si>
  <si>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</si>
  <si>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</si>
  <si>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</si>
  <si>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</si>
  <si>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</si>
  <si>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</si>
  <si>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</si>
  <si>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</si>
  <si>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</si>
  <si>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</si>
  <si>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</si>
  <si>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</si>
  <si>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 xml:space="preserve">  </t>
  </si>
  <si>
    <t xml:space="preserve"> </t>
  </si>
  <si>
    <t>Total price of all products</t>
  </si>
  <si>
    <t>Number of products</t>
  </si>
  <si>
    <t>Average product price</t>
  </si>
  <si>
    <t>Minimum price of all products</t>
  </si>
  <si>
    <t>Maximum price of all products</t>
  </si>
  <si>
    <t>Total price for products in the 'Electronics' category</t>
  </si>
  <si>
    <t>Count of products with a price less than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</si>
</sst>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F24" sqref="F2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selection activeCell="L18" sqref="L18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11" max="11" width="7.88671875" customWidth="1"/>
    <col min="12" max="12" width="57.21875" bestFit="1" customWidth="1"/>
    <col min="13" max="13" width="10.7773437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3" ht="15.75" customHeight="1" thickBot="1" x14ac:dyDescent="0.3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IF(D2&gt;500,"High Price","Standard Price")</f>
        <v>High Price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</row>
    <row r="3" spans="1:13" ht="15.75" customHeight="1" x14ac:dyDescent="0.3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ref="G3:G35" si="0">IF(D3&gt;500,"High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L3" s="9" t="s">
        <v>116</v>
      </c>
      <c r="M3" s="10">
        <f>SUM(D2:D35)</f>
        <v>10100</v>
      </c>
    </row>
    <row r="4" spans="1:13" ht="15.75" customHeight="1" x14ac:dyDescent="0.3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  <c r="L4" s="11" t="s">
        <v>117</v>
      </c>
      <c r="M4" s="12">
        <f>COUNTA(B2:B35)</f>
        <v>34</v>
      </c>
    </row>
    <row r="5" spans="1:13" ht="15.75" customHeight="1" x14ac:dyDescent="0.3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L5" s="11" t="s">
        <v>118</v>
      </c>
      <c r="M5" s="12">
        <f>AVERAGE(D2:D35)</f>
        <v>297.05882352941177</v>
      </c>
    </row>
    <row r="6" spans="1:13" ht="15.75" customHeight="1" x14ac:dyDescent="0.3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L6" s="11" t="s">
        <v>119</v>
      </c>
      <c r="M6" s="12">
        <f>MIN(D2:D35)</f>
        <v>30</v>
      </c>
    </row>
    <row r="7" spans="1:13" ht="15.75" customHeight="1" x14ac:dyDescent="0.3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L7" s="11" t="s">
        <v>120</v>
      </c>
      <c r="M7" s="12">
        <f>MAX(D2:D35)</f>
        <v>1000</v>
      </c>
    </row>
    <row r="8" spans="1:13" ht="15.75" customHeight="1" x14ac:dyDescent="0.3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L8" s="11" t="s">
        <v>121</v>
      </c>
      <c r="M8" s="12">
        <f>SUMIF(F2:F35,"Electronics",D2:D35)</f>
        <v>8050</v>
      </c>
    </row>
    <row r="9" spans="1:13" ht="15.75" customHeight="1" thickBot="1" x14ac:dyDescent="0.3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L9" s="13" t="s">
        <v>122</v>
      </c>
      <c r="M9" s="14">
        <f>COUNTIF(D2:D35,"&lt;100")</f>
        <v>11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Standard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  <c r="L15" s="8" t="s">
        <v>115</v>
      </c>
      <c r="M15" t="s">
        <v>114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UNNIKRISHNAN N R</cp:lastModifiedBy>
  <dcterms:modified xsi:type="dcterms:W3CDTF">2026-09-14T11:12:00Z</dcterms:modified>
</cp:coreProperties>
</file>